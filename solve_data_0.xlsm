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ra\Desktop\Alicia\repos_GitHub\network_flows_optimization_excel_solver\"/>
    </mc:Choice>
  </mc:AlternateContent>
  <xr:revisionPtr revIDLastSave="0" documentId="13_ncr:1_{23F5F9DF-AD81-4DE8-B0AD-1EF0E40A795F}" xr6:coauthVersionLast="47" xr6:coauthVersionMax="47" xr10:uidLastSave="{00000000-0000-0000-0000-000000000000}"/>
  <bookViews>
    <workbookView xWindow="-120" yWindow="-120" windowWidth="19440" windowHeight="10440" xr2:uid="{F2A49367-A4A4-434C-B6C7-4D3BE2F139BA}"/>
  </bookViews>
  <sheets>
    <sheet name="Hoja1" sheetId="1" r:id="rId1"/>
    <sheet name="Informe de sensibilidad 1" sheetId="2" r:id="rId2"/>
  </sheets>
  <definedNames>
    <definedName name="solver_adj" localSheetId="0" hidden="1">Hoja1!$K$10:$P$11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Hoja1!$K$10</definedName>
    <definedName name="solver_lhs10" localSheetId="0" hidden="1">Hoja1!$N$10</definedName>
    <definedName name="solver_lhs11" localSheetId="0" hidden="1">Hoja1!$N$11</definedName>
    <definedName name="solver_lhs12" localSheetId="0" hidden="1">Hoja1!$N$12</definedName>
    <definedName name="solver_lhs13" localSheetId="0" hidden="1">Hoja1!$O$10</definedName>
    <definedName name="solver_lhs14" localSheetId="0" hidden="1">Hoja1!$O$11</definedName>
    <definedName name="solver_lhs15" localSheetId="0" hidden="1">Hoja1!$O$12</definedName>
    <definedName name="solver_lhs16" localSheetId="0" hidden="1">Hoja1!$P$10</definedName>
    <definedName name="solver_lhs17" localSheetId="0" hidden="1">Hoja1!$P$11</definedName>
    <definedName name="solver_lhs18" localSheetId="0" hidden="1">Hoja1!$P$12</definedName>
    <definedName name="solver_lhs19" localSheetId="0" hidden="1">Hoja1!$Q$10</definedName>
    <definedName name="solver_lhs2" localSheetId="0" hidden="1">Hoja1!$K$11</definedName>
    <definedName name="solver_lhs20" localSheetId="0" hidden="1">Hoja1!$Q$11</definedName>
    <definedName name="solver_lhs3" localSheetId="0" hidden="1">Hoja1!$K$12</definedName>
    <definedName name="solver_lhs4" localSheetId="0" hidden="1">Hoja1!$L$10</definedName>
    <definedName name="solver_lhs5" localSheetId="0" hidden="1">Hoja1!$L$11</definedName>
    <definedName name="solver_lhs6" localSheetId="0" hidden="1">Hoja1!$L$12</definedName>
    <definedName name="solver_lhs7" localSheetId="0" hidden="1">Hoja1!$M$10</definedName>
    <definedName name="solver_lhs8" localSheetId="0" hidden="1">Hoja1!$M$11</definedName>
    <definedName name="solver_lhs9" localSheetId="0" hidden="1">Hoja1!$M$12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20</definedName>
    <definedName name="solver_nwt" localSheetId="0" hidden="1">1</definedName>
    <definedName name="solver_opt" localSheetId="0" hidden="1">Hoja1!$L$4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1</definedName>
    <definedName name="solver_rel2" localSheetId="0" hidden="1">3</definedName>
    <definedName name="solver_rel20" localSheetId="0" hidden="1">1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Hoja1!$C$32</definedName>
    <definedName name="solver_rhs10" localSheetId="0" hidden="1">Hoja1!$F$32</definedName>
    <definedName name="solver_rhs11" localSheetId="0" hidden="1">Hoja1!$F$33</definedName>
    <definedName name="solver_rhs12" localSheetId="0" hidden="1">Hoja1!$C$16</definedName>
    <definedName name="solver_rhs13" localSheetId="0" hidden="1">Hoja1!$G$32</definedName>
    <definedName name="solver_rhs14" localSheetId="0" hidden="1">Hoja1!$G$33</definedName>
    <definedName name="solver_rhs15" localSheetId="0" hidden="1">Hoja1!$C$17</definedName>
    <definedName name="solver_rhs16" localSheetId="0" hidden="1">Hoja1!$H$32</definedName>
    <definedName name="solver_rhs17" localSheetId="0" hidden="1">Hoja1!$H$33</definedName>
    <definedName name="solver_rhs18" localSheetId="0" hidden="1">Hoja1!$C$18</definedName>
    <definedName name="solver_rhs19" localSheetId="0" hidden="1">Hoja1!$C$7</definedName>
    <definedName name="solver_rhs2" localSheetId="0" hidden="1">Hoja1!$C$33</definedName>
    <definedName name="solver_rhs20" localSheetId="0" hidden="1">Hoja1!$C$8</definedName>
    <definedName name="solver_rhs3" localSheetId="0" hidden="1">Hoja1!$C$13</definedName>
    <definedName name="solver_rhs4" localSheetId="0" hidden="1">Hoja1!$D$32</definedName>
    <definedName name="solver_rhs5" localSheetId="0" hidden="1">Hoja1!$D$33</definedName>
    <definedName name="solver_rhs6" localSheetId="0" hidden="1">Hoja1!$C$14</definedName>
    <definedName name="solver_rhs7" localSheetId="0" hidden="1">Hoja1!$E$32</definedName>
    <definedName name="solver_rhs8" localSheetId="0" hidden="1">Hoja1!$E$33</definedName>
    <definedName name="solver_rhs9" localSheetId="0" hidden="1">Hoja1!$C$15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Q11" i="1"/>
  <c r="Q10" i="1"/>
  <c r="P12" i="1"/>
  <c r="L12" i="1"/>
  <c r="M12" i="1"/>
  <c r="N12" i="1"/>
  <c r="O12" i="1"/>
  <c r="K12" i="1"/>
</calcChain>
</file>

<file path=xl/sharedStrings.xml><?xml version="1.0" encoding="utf-8"?>
<sst xmlns="http://schemas.openxmlformats.org/spreadsheetml/2006/main" count="121" uniqueCount="82">
  <si>
    <t>Sources</t>
  </si>
  <si>
    <t>Arn</t>
  </si>
  <si>
    <t>Gou</t>
  </si>
  <si>
    <t>Customers</t>
  </si>
  <si>
    <t>Lon</t>
  </si>
  <si>
    <t>Maa</t>
  </si>
  <si>
    <t>Ams</t>
  </si>
  <si>
    <t>Utr</t>
  </si>
  <si>
    <t>Hag</t>
  </si>
  <si>
    <t>Demand</t>
  </si>
  <si>
    <t>Production</t>
  </si>
  <si>
    <t>Production limit for each source</t>
  </si>
  <si>
    <t>Demand for each customer</t>
  </si>
  <si>
    <t>Transportation cost between each source and customer</t>
  </si>
  <si>
    <t>INPUT DATA</t>
  </si>
  <si>
    <t>OUTPUT DATA</t>
  </si>
  <si>
    <t>Total cost</t>
  </si>
  <si>
    <t>Quantity exchange between each source and customer</t>
  </si>
  <si>
    <t>Total per c</t>
  </si>
  <si>
    <t>Total per s</t>
  </si>
  <si>
    <t>Ber</t>
  </si>
  <si>
    <t>Mandatory transportations</t>
  </si>
  <si>
    <t>Microsoft Excel 16.0 Informe de sensibilidad</t>
  </si>
  <si>
    <t>Hoja de cálculo: [solve_data_0.xlsm]Hoja1</t>
  </si>
  <si>
    <t>Informe creado: 29/02/2024 11:26:49</t>
  </si>
  <si>
    <t>Celdas de variables</t>
  </si>
  <si>
    <t>Celda</t>
  </si>
  <si>
    <t>Nombre</t>
  </si>
  <si>
    <t>Final</t>
  </si>
  <si>
    <t>Valor</t>
  </si>
  <si>
    <t>Reducido</t>
  </si>
  <si>
    <t>Coste</t>
  </si>
  <si>
    <t>Objetivo</t>
  </si>
  <si>
    <t>Coeficiente</t>
  </si>
  <si>
    <t>Permisible</t>
  </si>
  <si>
    <t>Aumentar</t>
  </si>
  <si>
    <t>Reducir</t>
  </si>
  <si>
    <t>Restricciones</t>
  </si>
  <si>
    <t>Sombra</t>
  </si>
  <si>
    <t>Precio</t>
  </si>
  <si>
    <t>Restricción</t>
  </si>
  <si>
    <t>Lado derecho</t>
  </si>
  <si>
    <t>$K$10</t>
  </si>
  <si>
    <t>Arn Lon</t>
  </si>
  <si>
    <t>$L$10</t>
  </si>
  <si>
    <t>Arn Ber</t>
  </si>
  <si>
    <t>$M$10</t>
  </si>
  <si>
    <t>Arn Maa</t>
  </si>
  <si>
    <t>$N$10</t>
  </si>
  <si>
    <t>Arn Ams</t>
  </si>
  <si>
    <t>$O$10</t>
  </si>
  <si>
    <t>Arn Utr</t>
  </si>
  <si>
    <t>$P$10</t>
  </si>
  <si>
    <t>Arn Hag</t>
  </si>
  <si>
    <t>$K$11</t>
  </si>
  <si>
    <t>Gou Lon</t>
  </si>
  <si>
    <t>$L$11</t>
  </si>
  <si>
    <t>Gou Ber</t>
  </si>
  <si>
    <t>$M$11</t>
  </si>
  <si>
    <t>Gou Maa</t>
  </si>
  <si>
    <t>$N$11</t>
  </si>
  <si>
    <t>Gou Ams</t>
  </si>
  <si>
    <t>$O$11</t>
  </si>
  <si>
    <t>Gou Utr</t>
  </si>
  <si>
    <t>$P$11</t>
  </si>
  <si>
    <t>Gou Hag</t>
  </si>
  <si>
    <t>$K$12</t>
  </si>
  <si>
    <t>Total per c Lon</t>
  </si>
  <si>
    <t>$L$12</t>
  </si>
  <si>
    <t>Total per c Ber</t>
  </si>
  <si>
    <t>$M$12</t>
  </si>
  <si>
    <t>Total per c Maa</t>
  </si>
  <si>
    <t>$N$12</t>
  </si>
  <si>
    <t>Total per c Ams</t>
  </si>
  <si>
    <t>$O$12</t>
  </si>
  <si>
    <t>Total per c Utr</t>
  </si>
  <si>
    <t>$P$12</t>
  </si>
  <si>
    <t>Total per c Hag</t>
  </si>
  <si>
    <t>$Q$10</t>
  </si>
  <si>
    <t>Arn Total per s</t>
  </si>
  <si>
    <t>$Q$11</t>
  </si>
  <si>
    <t>Gou Total per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</si>
</sst>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0" fillId="2" borderId="0" xfId="0" applyFill="1"/>
    <xf numFmtId="0" fontId="0" fillId="0" borderId="4" xfId="0" applyBorder="1"/>
    <xf numFmtId="0" fontId="0" fillId="0" borderId="5" xfId="0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14</xdr:row>
      <xdr:rowOff>0</xdr:rowOff>
    </xdr:from>
    <xdr:to>
      <xdr:col>11</xdr:col>
      <xdr:colOff>57150</xdr:colOff>
      <xdr:row>15</xdr:row>
      <xdr:rowOff>104775</xdr:rowOff>
    </xdr:to>
    <xdr:sp macro="[0]!Macro1" textlink="">
      <xdr:nvSpPr>
        <xdr:cNvPr id="2" name="Rectángulo 1">
          <a:extLst>
            <a:ext uri="{FF2B5EF4-FFF2-40B4-BE49-F238E27FC236}">
              <a16:creationId xmlns:a16="http://schemas.microsoft.com/office/drawing/2014/main" id="{9675D346-B87D-38AF-CF15-DAAA1EF8AF9A}"/>
            </a:ext>
          </a:extLst>
        </xdr:cNvPr>
        <xdr:cNvSpPr/>
      </xdr:nvSpPr>
      <xdr:spPr>
        <a:xfrm>
          <a:off x="6915150" y="2667000"/>
          <a:ext cx="1524000" cy="2952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Solve problem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BC78D-9C6B-4EC1-8EF9-5766340D6655}">
  <sheetPr codeName="Hoja1"/>
  <dimension ref="B2:Q33"/>
  <sheetViews>
    <sheetView tabSelected="1" workbookViewId="0"/>
  </sheetViews>
  <sheetFormatPr baseColWidth="10" defaultRowHeight="15" x14ac:dyDescent="0.25"/>
  <sheetData>
    <row r="2" spans="2:17" x14ac:dyDescent="0.25">
      <c r="B2" s="6" t="s">
        <v>14</v>
      </c>
      <c r="J2" s="6" t="s">
        <v>15</v>
      </c>
    </row>
    <row r="4" spans="2:17" x14ac:dyDescent="0.25">
      <c r="B4" s="4" t="s">
        <v>11</v>
      </c>
      <c r="J4" t="s">
        <v>16</v>
      </c>
      <c r="L4" s="7">
        <f>C24*K10+D24*L10+E24*M10+F24*N10+G24*O10+H24*P10+C25*K11+D25*L11+ E25*M11+F25*N11+G25*O11+H25*P11</f>
        <v>1715</v>
      </c>
    </row>
    <row r="6" spans="2:17" x14ac:dyDescent="0.25">
      <c r="B6" s="2" t="s">
        <v>0</v>
      </c>
      <c r="C6" s="2" t="s">
        <v>10</v>
      </c>
      <c r="J6" t="s">
        <v>17</v>
      </c>
    </row>
    <row r="7" spans="2:17" x14ac:dyDescent="0.25">
      <c r="B7" s="2" t="s">
        <v>1</v>
      </c>
      <c r="C7" s="2">
        <v>550</v>
      </c>
    </row>
    <row r="8" spans="2:17" x14ac:dyDescent="0.25">
      <c r="B8" s="2" t="s">
        <v>2</v>
      </c>
      <c r="C8" s="2">
        <v>650</v>
      </c>
      <c r="J8" s="1"/>
      <c r="K8" s="12" t="s">
        <v>3</v>
      </c>
      <c r="L8" s="12"/>
      <c r="M8" s="12"/>
      <c r="N8" s="12"/>
      <c r="O8" s="12"/>
      <c r="P8" s="12"/>
      <c r="Q8" s="13" t="s">
        <v>19</v>
      </c>
    </row>
    <row r="9" spans="2:17" x14ac:dyDescent="0.25">
      <c r="J9" s="2" t="s">
        <v>0</v>
      </c>
      <c r="K9" s="2" t="s">
        <v>4</v>
      </c>
      <c r="L9" s="2" t="s">
        <v>20</v>
      </c>
      <c r="M9" s="2" t="s">
        <v>5</v>
      </c>
      <c r="N9" s="2" t="s">
        <v>6</v>
      </c>
      <c r="O9" s="2" t="s">
        <v>7</v>
      </c>
      <c r="P9" s="2" t="s">
        <v>8</v>
      </c>
      <c r="Q9" s="13"/>
    </row>
    <row r="10" spans="2:17" x14ac:dyDescent="0.25">
      <c r="B10" s="5" t="s">
        <v>12</v>
      </c>
      <c r="J10" s="2" t="s">
        <v>1</v>
      </c>
      <c r="K10" s="3">
        <v>0</v>
      </c>
      <c r="L10" s="3">
        <v>175</v>
      </c>
      <c r="M10" s="3">
        <v>225</v>
      </c>
      <c r="N10" s="3">
        <v>0</v>
      </c>
      <c r="O10" s="3">
        <v>150</v>
      </c>
      <c r="P10" s="3">
        <v>0</v>
      </c>
      <c r="Q10" s="2">
        <f>SUM(K10:P10)</f>
        <v>550</v>
      </c>
    </row>
    <row r="11" spans="2:17" x14ac:dyDescent="0.25">
      <c r="J11" s="2" t="s">
        <v>2</v>
      </c>
      <c r="K11" s="3">
        <v>125</v>
      </c>
      <c r="L11" s="3">
        <v>0</v>
      </c>
      <c r="M11" s="3">
        <v>0</v>
      </c>
      <c r="N11" s="3">
        <v>250</v>
      </c>
      <c r="O11" s="3">
        <v>75</v>
      </c>
      <c r="P11" s="3">
        <v>200</v>
      </c>
      <c r="Q11" s="2">
        <f>SUM(K11:P11)</f>
        <v>650</v>
      </c>
    </row>
    <row r="12" spans="2:17" x14ac:dyDescent="0.25">
      <c r="B12" s="2" t="s">
        <v>3</v>
      </c>
      <c r="C12" s="2" t="s">
        <v>9</v>
      </c>
      <c r="J12" s="2" t="s">
        <v>18</v>
      </c>
      <c r="K12" s="2">
        <f>SUM(K10:K11)</f>
        <v>125</v>
      </c>
      <c r="L12" s="2">
        <f t="shared" ref="L12:O12" si="0">SUM(L10:L11)</f>
        <v>175</v>
      </c>
      <c r="M12" s="2">
        <f t="shared" si="0"/>
        <v>225</v>
      </c>
      <c r="N12" s="2">
        <f t="shared" si="0"/>
        <v>250</v>
      </c>
      <c r="O12" s="2">
        <f t="shared" si="0"/>
        <v>225</v>
      </c>
      <c r="P12" s="2">
        <f>SUM(P10:P11)</f>
        <v>200</v>
      </c>
      <c r="Q12" s="1"/>
    </row>
    <row r="13" spans="2:17" x14ac:dyDescent="0.25">
      <c r="B13" s="2" t="s">
        <v>4</v>
      </c>
      <c r="C13" s="2">
        <v>125</v>
      </c>
    </row>
    <row r="14" spans="2:17" x14ac:dyDescent="0.25">
      <c r="B14" s="2" t="s">
        <v>20</v>
      </c>
      <c r="C14" s="2">
        <v>175</v>
      </c>
    </row>
    <row r="15" spans="2:17" x14ac:dyDescent="0.25">
      <c r="B15" s="2" t="s">
        <v>5</v>
      </c>
      <c r="C15" s="2">
        <v>225</v>
      </c>
    </row>
    <row r="16" spans="2:17" x14ac:dyDescent="0.25">
      <c r="B16" s="2" t="s">
        <v>6</v>
      </c>
      <c r="C16" s="2">
        <v>250</v>
      </c>
    </row>
    <row r="17" spans="2:9" x14ac:dyDescent="0.25">
      <c r="B17" s="2" t="s">
        <v>7</v>
      </c>
      <c r="C17" s="2">
        <v>225</v>
      </c>
    </row>
    <row r="18" spans="2:9" ht="14.25" customHeight="1" x14ac:dyDescent="0.25">
      <c r="B18" s="2" t="s">
        <v>8</v>
      </c>
      <c r="C18" s="2">
        <v>200</v>
      </c>
    </row>
    <row r="20" spans="2:9" x14ac:dyDescent="0.25">
      <c r="B20" s="5" t="s">
        <v>13</v>
      </c>
    </row>
    <row r="22" spans="2:9" x14ac:dyDescent="0.25">
      <c r="B22" s="1"/>
      <c r="C22" s="12" t="s">
        <v>3</v>
      </c>
      <c r="D22" s="12"/>
      <c r="E22" s="12"/>
      <c r="F22" s="12"/>
      <c r="G22" s="12"/>
      <c r="H22" s="12"/>
      <c r="I22" s="1"/>
    </row>
    <row r="23" spans="2:9" x14ac:dyDescent="0.25">
      <c r="B23" s="2" t="s">
        <v>0</v>
      </c>
      <c r="C23" s="2" t="s">
        <v>4</v>
      </c>
      <c r="D23" s="2" t="s">
        <v>20</v>
      </c>
      <c r="E23" s="2" t="s">
        <v>5</v>
      </c>
      <c r="F23" s="2" t="s">
        <v>6</v>
      </c>
      <c r="G23" s="2" t="s">
        <v>7</v>
      </c>
      <c r="H23" s="2" t="s">
        <v>8</v>
      </c>
    </row>
    <row r="24" spans="2:9" x14ac:dyDescent="0.25">
      <c r="B24" s="2" t="s">
        <v>1</v>
      </c>
      <c r="C24" s="2">
        <v>10000</v>
      </c>
      <c r="D24" s="2">
        <v>2.5</v>
      </c>
      <c r="E24" s="2">
        <v>1.6</v>
      </c>
      <c r="F24" s="2">
        <v>1.4</v>
      </c>
      <c r="G24" s="2">
        <v>0.8</v>
      </c>
      <c r="H24" s="2">
        <v>1.4</v>
      </c>
    </row>
    <row r="25" spans="2:9" x14ac:dyDescent="0.25">
      <c r="B25" s="2" t="s">
        <v>2</v>
      </c>
      <c r="C25" s="2">
        <v>2.5</v>
      </c>
      <c r="D25" s="2">
        <v>10000</v>
      </c>
      <c r="E25" s="2">
        <v>2</v>
      </c>
      <c r="F25" s="2">
        <v>1</v>
      </c>
      <c r="G25" s="2">
        <v>1</v>
      </c>
      <c r="H25" s="2">
        <v>0.8</v>
      </c>
    </row>
    <row r="28" spans="2:9" x14ac:dyDescent="0.25">
      <c r="B28" s="5" t="s">
        <v>21</v>
      </c>
    </row>
    <row r="30" spans="2:9" x14ac:dyDescent="0.25">
      <c r="B30" s="1"/>
      <c r="C30" s="12" t="s">
        <v>3</v>
      </c>
      <c r="D30" s="12"/>
      <c r="E30" s="12"/>
      <c r="F30" s="12"/>
      <c r="G30" s="12"/>
      <c r="H30" s="12"/>
    </row>
    <row r="31" spans="2:9" x14ac:dyDescent="0.25">
      <c r="B31" s="2" t="s">
        <v>0</v>
      </c>
      <c r="C31" s="2" t="s">
        <v>4</v>
      </c>
      <c r="D31" s="2" t="s">
        <v>20</v>
      </c>
      <c r="E31" s="2" t="s">
        <v>5</v>
      </c>
      <c r="F31" s="2" t="s">
        <v>6</v>
      </c>
      <c r="G31" s="2" t="s">
        <v>7</v>
      </c>
      <c r="H31" s="2" t="s">
        <v>8</v>
      </c>
    </row>
    <row r="32" spans="2:9" x14ac:dyDescent="0.25">
      <c r="B32" s="2" t="s">
        <v>1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</row>
    <row r="33" spans="2:8" x14ac:dyDescent="0.25">
      <c r="B33" s="2" t="s">
        <v>2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</row>
  </sheetData>
  <mergeCells count="4">
    <mergeCell ref="C22:H22"/>
    <mergeCell ref="K8:P8"/>
    <mergeCell ref="Q8:Q9"/>
    <mergeCell ref="C30:H30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FE224-0E6F-4B0A-8738-A8B466B1AC52}">
  <dimension ref="A1:H32"/>
  <sheetViews>
    <sheetView showGridLines="0" workbookViewId="0"/>
  </sheetViews>
  <sheetFormatPr baseColWidth="10" defaultRowHeight="15" x14ac:dyDescent="0.25"/>
  <cols>
    <col min="1" max="1" width="2.28515625" customWidth="1"/>
    <col min="2" max="2" width="6.7109375" bestFit="1" customWidth="1"/>
    <col min="3" max="3" width="14.42578125" bestFit="1" customWidth="1"/>
    <col min="4" max="4" width="5.7109375" bestFit="1" customWidth="1"/>
    <col min="5" max="5" width="9.28515625" bestFit="1" customWidth="1"/>
    <col min="6" max="6" width="12.85546875" bestFit="1" customWidth="1"/>
    <col min="7" max="8" width="10.5703125" bestFit="1" customWidth="1"/>
  </cols>
  <sheetData>
    <row r="1" spans="1:8" x14ac:dyDescent="0.25">
      <c r="A1" s="4" t="s">
        <v>22</v>
      </c>
    </row>
    <row r="2" spans="1:8" x14ac:dyDescent="0.25">
      <c r="A2" s="4" t="s">
        <v>23</v>
      </c>
    </row>
    <row r="3" spans="1:8" x14ac:dyDescent="0.25">
      <c r="A3" s="4" t="s">
        <v>24</v>
      </c>
    </row>
    <row r="6" spans="1:8" ht="15.75" thickBot="1" x14ac:dyDescent="0.3">
      <c r="A6" t="s">
        <v>25</v>
      </c>
    </row>
    <row r="7" spans="1:8" x14ac:dyDescent="0.25">
      <c r="B7" s="10"/>
      <c r="C7" s="10"/>
      <c r="D7" s="10" t="s">
        <v>28</v>
      </c>
      <c r="E7" s="10" t="s">
        <v>30</v>
      </c>
      <c r="F7" s="10" t="s">
        <v>32</v>
      </c>
      <c r="G7" s="10" t="s">
        <v>34</v>
      </c>
      <c r="H7" s="10" t="s">
        <v>34</v>
      </c>
    </row>
    <row r="8" spans="1:8" ht="15.75" thickBot="1" x14ac:dyDescent="0.3">
      <c r="B8" s="11" t="s">
        <v>26</v>
      </c>
      <c r="C8" s="11" t="s">
        <v>27</v>
      </c>
      <c r="D8" s="11" t="s">
        <v>29</v>
      </c>
      <c r="E8" s="11" t="s">
        <v>31</v>
      </c>
      <c r="F8" s="11" t="s">
        <v>33</v>
      </c>
      <c r="G8" s="11" t="s">
        <v>35</v>
      </c>
      <c r="H8" s="11" t="s">
        <v>36</v>
      </c>
    </row>
    <row r="9" spans="1:8" x14ac:dyDescent="0.25">
      <c r="B9" s="8" t="s">
        <v>42</v>
      </c>
      <c r="C9" s="8" t="s">
        <v>43</v>
      </c>
      <c r="D9" s="8">
        <v>0</v>
      </c>
      <c r="E9" s="8">
        <v>9997.7000000000025</v>
      </c>
      <c r="F9" s="8">
        <v>10000</v>
      </c>
      <c r="G9" s="8">
        <v>1E+30</v>
      </c>
      <c r="H9" s="8">
        <v>9997.7000000000025</v>
      </c>
    </row>
    <row r="10" spans="1:8" x14ac:dyDescent="0.25">
      <c r="B10" s="8" t="s">
        <v>44</v>
      </c>
      <c r="C10" s="8" t="s">
        <v>45</v>
      </c>
      <c r="D10" s="8">
        <v>175</v>
      </c>
      <c r="E10" s="8">
        <v>0</v>
      </c>
      <c r="F10" s="8">
        <v>2.5</v>
      </c>
      <c r="G10" s="8">
        <v>9997.2999999999975</v>
      </c>
      <c r="H10" s="8">
        <v>2.7000000000007276</v>
      </c>
    </row>
    <row r="11" spans="1:8" x14ac:dyDescent="0.25">
      <c r="B11" s="8" t="s">
        <v>46</v>
      </c>
      <c r="C11" s="8" t="s">
        <v>47</v>
      </c>
      <c r="D11" s="8">
        <v>225</v>
      </c>
      <c r="E11" s="8">
        <v>0</v>
      </c>
      <c r="F11" s="8">
        <v>1.6000000000003638</v>
      </c>
      <c r="G11" s="8">
        <v>0.19999999999890861</v>
      </c>
      <c r="H11" s="8">
        <v>1.8000000000010914</v>
      </c>
    </row>
    <row r="12" spans="1:8" x14ac:dyDescent="0.25">
      <c r="B12" s="8" t="s">
        <v>48</v>
      </c>
      <c r="C12" s="8" t="s">
        <v>49</v>
      </c>
      <c r="D12" s="8">
        <v>0</v>
      </c>
      <c r="E12" s="8">
        <v>0.6000000000003638</v>
      </c>
      <c r="F12" s="8">
        <v>1.3999999999996362</v>
      </c>
      <c r="G12" s="8">
        <v>1E+30</v>
      </c>
      <c r="H12" s="8">
        <v>0.6000000000003638</v>
      </c>
    </row>
    <row r="13" spans="1:8" x14ac:dyDescent="0.25">
      <c r="B13" s="8" t="s">
        <v>50</v>
      </c>
      <c r="C13" s="8" t="s">
        <v>51</v>
      </c>
      <c r="D13" s="8">
        <v>150</v>
      </c>
      <c r="E13" s="8">
        <v>0</v>
      </c>
      <c r="F13" s="8">
        <v>0.7999999999992724</v>
      </c>
      <c r="G13" s="8">
        <v>0.2000000000007276</v>
      </c>
      <c r="H13" s="8">
        <v>0.19999999999890861</v>
      </c>
    </row>
    <row r="14" spans="1:8" x14ac:dyDescent="0.25">
      <c r="B14" s="8" t="s">
        <v>52</v>
      </c>
      <c r="C14" s="8" t="s">
        <v>53</v>
      </c>
      <c r="D14" s="8">
        <v>0</v>
      </c>
      <c r="E14" s="8">
        <v>0.80000000000109139</v>
      </c>
      <c r="F14" s="8">
        <v>1.3999999999996362</v>
      </c>
      <c r="G14" s="8">
        <v>1E+30</v>
      </c>
      <c r="H14" s="8">
        <v>0.80000000000109139</v>
      </c>
    </row>
    <row r="15" spans="1:8" x14ac:dyDescent="0.25">
      <c r="B15" s="8" t="s">
        <v>54</v>
      </c>
      <c r="C15" s="8" t="s">
        <v>55</v>
      </c>
      <c r="D15" s="8">
        <v>125</v>
      </c>
      <c r="E15" s="8">
        <v>0</v>
      </c>
      <c r="F15" s="8">
        <v>2.5</v>
      </c>
      <c r="G15" s="8">
        <v>9997.7000000000025</v>
      </c>
      <c r="H15" s="8">
        <v>2.5</v>
      </c>
    </row>
    <row r="16" spans="1:8" x14ac:dyDescent="0.25">
      <c r="B16" s="8" t="s">
        <v>56</v>
      </c>
      <c r="C16" s="8" t="s">
        <v>57</v>
      </c>
      <c r="D16" s="8">
        <v>0</v>
      </c>
      <c r="E16" s="8">
        <v>9997.2999999999975</v>
      </c>
      <c r="F16" s="8">
        <v>9999.9999999999982</v>
      </c>
      <c r="G16" s="8">
        <v>1E+30</v>
      </c>
      <c r="H16" s="8">
        <v>9997.2999999999975</v>
      </c>
    </row>
    <row r="17" spans="1:8" x14ac:dyDescent="0.25">
      <c r="B17" s="8" t="s">
        <v>58</v>
      </c>
      <c r="C17" s="8" t="s">
        <v>59</v>
      </c>
      <c r="D17" s="8">
        <v>0</v>
      </c>
      <c r="E17" s="8">
        <v>0.19999999999890861</v>
      </c>
      <c r="F17" s="8">
        <v>2</v>
      </c>
      <c r="G17" s="8">
        <v>1E+30</v>
      </c>
      <c r="H17" s="8">
        <v>0.19999999999890861</v>
      </c>
    </row>
    <row r="18" spans="1:8" x14ac:dyDescent="0.25">
      <c r="B18" s="8" t="s">
        <v>60</v>
      </c>
      <c r="C18" s="8" t="s">
        <v>61</v>
      </c>
      <c r="D18" s="8">
        <v>250</v>
      </c>
      <c r="E18" s="8">
        <v>0</v>
      </c>
      <c r="F18" s="8">
        <v>1</v>
      </c>
      <c r="G18" s="8">
        <v>0.6000000000003638</v>
      </c>
      <c r="H18" s="8">
        <v>1</v>
      </c>
    </row>
    <row r="19" spans="1:8" x14ac:dyDescent="0.25">
      <c r="B19" s="8" t="s">
        <v>62</v>
      </c>
      <c r="C19" s="8" t="s">
        <v>63</v>
      </c>
      <c r="D19" s="8">
        <v>75</v>
      </c>
      <c r="E19" s="8">
        <v>0</v>
      </c>
      <c r="F19" s="8">
        <v>1</v>
      </c>
      <c r="G19" s="8">
        <v>0.19999999999890861</v>
      </c>
      <c r="H19" s="8">
        <v>0.2000000000007276</v>
      </c>
    </row>
    <row r="20" spans="1:8" ht="15.75" thickBot="1" x14ac:dyDescent="0.3">
      <c r="B20" s="9" t="s">
        <v>64</v>
      </c>
      <c r="C20" s="9" t="s">
        <v>65</v>
      </c>
      <c r="D20" s="9">
        <v>200</v>
      </c>
      <c r="E20" s="9">
        <v>0</v>
      </c>
      <c r="F20" s="9">
        <v>0.7999999999992724</v>
      </c>
      <c r="G20" s="9">
        <v>0.80000000000109139</v>
      </c>
      <c r="H20" s="9">
        <v>0.7999999999992724</v>
      </c>
    </row>
    <row r="22" spans="1:8" ht="15.75" thickBot="1" x14ac:dyDescent="0.3">
      <c r="A22" t="s">
        <v>37</v>
      </c>
    </row>
    <row r="23" spans="1:8" x14ac:dyDescent="0.25">
      <c r="B23" s="10"/>
      <c r="C23" s="10"/>
      <c r="D23" s="10" t="s">
        <v>28</v>
      </c>
      <c r="E23" s="10" t="s">
        <v>38</v>
      </c>
      <c r="F23" s="10" t="s">
        <v>40</v>
      </c>
      <c r="G23" s="10" t="s">
        <v>34</v>
      </c>
      <c r="H23" s="10" t="s">
        <v>34</v>
      </c>
    </row>
    <row r="24" spans="1:8" ht="15.75" thickBot="1" x14ac:dyDescent="0.3">
      <c r="B24" s="11" t="s">
        <v>26</v>
      </c>
      <c r="C24" s="11" t="s">
        <v>27</v>
      </c>
      <c r="D24" s="11" t="s">
        <v>29</v>
      </c>
      <c r="E24" s="11" t="s">
        <v>39</v>
      </c>
      <c r="F24" s="11" t="s">
        <v>41</v>
      </c>
      <c r="G24" s="11" t="s">
        <v>35</v>
      </c>
      <c r="H24" s="11" t="s">
        <v>36</v>
      </c>
    </row>
    <row r="25" spans="1:8" x14ac:dyDescent="0.25">
      <c r="B25" s="8" t="s">
        <v>66</v>
      </c>
      <c r="C25" s="8" t="s">
        <v>67</v>
      </c>
      <c r="D25" s="8">
        <v>125</v>
      </c>
      <c r="E25" s="8">
        <v>2.5</v>
      </c>
      <c r="F25" s="8">
        <v>125</v>
      </c>
      <c r="G25" s="8">
        <v>0</v>
      </c>
      <c r="H25" s="8">
        <v>125</v>
      </c>
    </row>
    <row r="26" spans="1:8" x14ac:dyDescent="0.25">
      <c r="B26" s="8" t="s">
        <v>68</v>
      </c>
      <c r="C26" s="8" t="s">
        <v>69</v>
      </c>
      <c r="D26" s="8">
        <v>175</v>
      </c>
      <c r="E26" s="8">
        <v>2.7000000000007276</v>
      </c>
      <c r="F26" s="8">
        <v>175</v>
      </c>
      <c r="G26" s="8">
        <v>0</v>
      </c>
      <c r="H26" s="8">
        <v>75</v>
      </c>
    </row>
    <row r="27" spans="1:8" x14ac:dyDescent="0.25">
      <c r="B27" s="8" t="s">
        <v>70</v>
      </c>
      <c r="C27" s="8" t="s">
        <v>71</v>
      </c>
      <c r="D27" s="8">
        <v>225</v>
      </c>
      <c r="E27" s="8">
        <v>1.8000000000010914</v>
      </c>
      <c r="F27" s="8">
        <v>225</v>
      </c>
      <c r="G27" s="8">
        <v>0</v>
      </c>
      <c r="H27" s="8">
        <v>75</v>
      </c>
    </row>
    <row r="28" spans="1:8" x14ac:dyDescent="0.25">
      <c r="B28" s="8" t="s">
        <v>72</v>
      </c>
      <c r="C28" s="8" t="s">
        <v>73</v>
      </c>
      <c r="D28" s="8">
        <v>250</v>
      </c>
      <c r="E28" s="8">
        <v>1</v>
      </c>
      <c r="F28" s="8">
        <v>250</v>
      </c>
      <c r="G28" s="8">
        <v>0</v>
      </c>
      <c r="H28" s="8">
        <v>250</v>
      </c>
    </row>
    <row r="29" spans="1:8" x14ac:dyDescent="0.25">
      <c r="B29" s="8" t="s">
        <v>74</v>
      </c>
      <c r="C29" s="8" t="s">
        <v>75</v>
      </c>
      <c r="D29" s="8">
        <v>225</v>
      </c>
      <c r="E29" s="8">
        <v>1</v>
      </c>
      <c r="F29" s="8">
        <v>225</v>
      </c>
      <c r="G29" s="8">
        <v>0</v>
      </c>
      <c r="H29" s="8">
        <v>75</v>
      </c>
    </row>
    <row r="30" spans="1:8" x14ac:dyDescent="0.25">
      <c r="B30" s="8" t="s">
        <v>76</v>
      </c>
      <c r="C30" s="8" t="s">
        <v>77</v>
      </c>
      <c r="D30" s="8">
        <v>200</v>
      </c>
      <c r="E30" s="8">
        <v>0.7999999999992724</v>
      </c>
      <c r="F30" s="8">
        <v>200</v>
      </c>
      <c r="G30" s="8">
        <v>0</v>
      </c>
      <c r="H30" s="8">
        <v>200</v>
      </c>
    </row>
    <row r="31" spans="1:8" x14ac:dyDescent="0.25">
      <c r="B31" s="8" t="s">
        <v>78</v>
      </c>
      <c r="C31" s="8" t="s">
        <v>79</v>
      </c>
      <c r="D31" s="8">
        <v>550</v>
      </c>
      <c r="E31" s="8">
        <v>-0.2000000000007276</v>
      </c>
      <c r="F31" s="8">
        <v>550</v>
      </c>
      <c r="G31" s="8">
        <v>75</v>
      </c>
      <c r="H31" s="8">
        <v>0</v>
      </c>
    </row>
    <row r="32" spans="1:8" ht="15.75" thickBot="1" x14ac:dyDescent="0.3">
      <c r="B32" s="9" t="s">
        <v>80</v>
      </c>
      <c r="C32" s="9" t="s">
        <v>81</v>
      </c>
      <c r="D32" s="9">
        <v>650</v>
      </c>
      <c r="E32" s="9">
        <v>0</v>
      </c>
      <c r="F32" s="9">
        <v>650</v>
      </c>
      <c r="G32" s="9">
        <v>1E+30</v>
      </c>
      <c r="H32" s="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Informe de sensibilidad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Prieto</dc:creator>
  <cp:lastModifiedBy>Jose Prieto</cp:lastModifiedBy>
  <dcterms:created xsi:type="dcterms:W3CDTF">2024-02-28T14:11:19Z</dcterms:created>
  <dcterms:modified xsi:type="dcterms:W3CDTF">2024-02-29T12:22:09Z</dcterms:modified>
</cp:coreProperties>
</file>