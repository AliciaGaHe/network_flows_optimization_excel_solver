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ra\Desktop\Alicia\repos_GitHub\network_flows_optimization_excel_solver\"/>
    </mc:Choice>
  </mc:AlternateContent>
  <xr:revisionPtr revIDLastSave="0" documentId="13_ncr:1_{0CDB3F5A-BA7F-48BA-B0D0-C2E42B8CC37F}" xr6:coauthVersionLast="47" xr6:coauthVersionMax="47" xr10:uidLastSave="{00000000-0000-0000-0000-000000000000}"/>
  <bookViews>
    <workbookView xWindow="-120" yWindow="-120" windowWidth="19440" windowHeight="10440" xr2:uid="{F2A49367-A4A4-434C-B6C7-4D3BE2F139BA}"/>
  </bookViews>
  <sheets>
    <sheet name="Hoja1" sheetId="1" r:id="rId1"/>
  </sheets>
  <definedNames>
    <definedName name="solver_adj" localSheetId="0" hidden="1">Hoja1!$K$10:$P$11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Hoja1!$K$10</definedName>
    <definedName name="solver_lhs10" localSheetId="0" hidden="1">Hoja1!$N$10</definedName>
    <definedName name="solver_lhs11" localSheetId="0" hidden="1">Hoja1!$N$11</definedName>
    <definedName name="solver_lhs12" localSheetId="0" hidden="1">Hoja1!$N$12</definedName>
    <definedName name="solver_lhs13" localSheetId="0" hidden="1">Hoja1!$O$10</definedName>
    <definedName name="solver_lhs14" localSheetId="0" hidden="1">Hoja1!$O$11</definedName>
    <definedName name="solver_lhs15" localSheetId="0" hidden="1">Hoja1!$O$12</definedName>
    <definedName name="solver_lhs16" localSheetId="0" hidden="1">Hoja1!$P$10</definedName>
    <definedName name="solver_lhs17" localSheetId="0" hidden="1">Hoja1!$P$11</definedName>
    <definedName name="solver_lhs18" localSheetId="0" hidden="1">Hoja1!$P$12</definedName>
    <definedName name="solver_lhs19" localSheetId="0" hidden="1">Hoja1!$Q$10</definedName>
    <definedName name="solver_lhs2" localSheetId="0" hidden="1">Hoja1!$K$11</definedName>
    <definedName name="solver_lhs20" localSheetId="0" hidden="1">Hoja1!$Q$11</definedName>
    <definedName name="solver_lhs3" localSheetId="0" hidden="1">Hoja1!$K$12</definedName>
    <definedName name="solver_lhs4" localSheetId="0" hidden="1">Hoja1!$L$10</definedName>
    <definedName name="solver_lhs5" localSheetId="0" hidden="1">Hoja1!$L$11</definedName>
    <definedName name="solver_lhs6" localSheetId="0" hidden="1">Hoja1!$L$12</definedName>
    <definedName name="solver_lhs7" localSheetId="0" hidden="1">Hoja1!$M$10</definedName>
    <definedName name="solver_lhs8" localSheetId="0" hidden="1">Hoja1!$M$11</definedName>
    <definedName name="solver_lhs9" localSheetId="0" hidden="1">Hoja1!$M$12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20</definedName>
    <definedName name="solver_nwt" localSheetId="0" hidden="1">1</definedName>
    <definedName name="solver_opt" localSheetId="0" hidden="1">Hoja1!$L$4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Hoja1!$C$32</definedName>
    <definedName name="solver_rhs10" localSheetId="0" hidden="1">Hoja1!$F$32</definedName>
    <definedName name="solver_rhs11" localSheetId="0" hidden="1">Hoja1!$F$33</definedName>
    <definedName name="solver_rhs12" localSheetId="0" hidden="1">Hoja1!$C$16</definedName>
    <definedName name="solver_rhs13" localSheetId="0" hidden="1">Hoja1!$G$32</definedName>
    <definedName name="solver_rhs14" localSheetId="0" hidden="1">Hoja1!$G$33</definedName>
    <definedName name="solver_rhs15" localSheetId="0" hidden="1">Hoja1!$C$17</definedName>
    <definedName name="solver_rhs16" localSheetId="0" hidden="1">Hoja1!$H$32</definedName>
    <definedName name="solver_rhs17" localSheetId="0" hidden="1">Hoja1!$H$33</definedName>
    <definedName name="solver_rhs18" localSheetId="0" hidden="1">Hoja1!$C$18</definedName>
    <definedName name="solver_rhs19" localSheetId="0" hidden="1">Hoja1!$C$7</definedName>
    <definedName name="solver_rhs2" localSheetId="0" hidden="1">Hoja1!$C$33</definedName>
    <definedName name="solver_rhs20" localSheetId="0" hidden="1">Hoja1!$C$8</definedName>
    <definedName name="solver_rhs3" localSheetId="0" hidden="1">Hoja1!$C$13</definedName>
    <definedName name="solver_rhs4" localSheetId="0" hidden="1">Hoja1!$D$32</definedName>
    <definedName name="solver_rhs5" localSheetId="0" hidden="1">Hoja1!$D$33</definedName>
    <definedName name="solver_rhs6" localSheetId="0" hidden="1">Hoja1!$C$14</definedName>
    <definedName name="solver_rhs7" localSheetId="0" hidden="1">Hoja1!$E$32</definedName>
    <definedName name="solver_rhs8" localSheetId="0" hidden="1">Hoja1!$E$33</definedName>
    <definedName name="solver_rhs9" localSheetId="0" hidden="1">Hoja1!$C$15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Q11" i="1"/>
  <c r="Q10" i="1"/>
  <c r="P12" i="1"/>
  <c r="L12" i="1"/>
  <c r="M12" i="1"/>
  <c r="N12" i="1"/>
  <c r="O12" i="1"/>
  <c r="K12" i="1"/>
</calcChain>
</file>

<file path=xl/sharedStrings.xml><?xml version="1.0" encoding="utf-8"?>
<sst xmlns="http://schemas.openxmlformats.org/spreadsheetml/2006/main" count="52" uniqueCount="23">
  <si>
    <t>Sources</t>
  </si>
  <si>
    <t>Arn</t>
  </si>
  <si>
    <t>Gou</t>
  </si>
  <si>
    <t>Customers</t>
  </si>
  <si>
    <t>Lon</t>
  </si>
  <si>
    <t>Ver</t>
  </si>
  <si>
    <t>Maa</t>
  </si>
  <si>
    <t>Ams</t>
  </si>
  <si>
    <t>Utr</t>
  </si>
  <si>
    <t>Hag</t>
  </si>
  <si>
    <t>Demand</t>
  </si>
  <si>
    <t>Production</t>
  </si>
  <si>
    <t>Production limit for each source</t>
  </si>
  <si>
    <t>Demand for each customer</t>
  </si>
  <si>
    <t>Transportation cost between each source and customer</t>
  </si>
  <si>
    <t>INPUT DATA</t>
  </si>
  <si>
    <t>OUTPUT DATA</t>
  </si>
  <si>
    <t>Total cost</t>
  </si>
  <si>
    <t>Quantity exchange between each source and customer</t>
  </si>
  <si>
    <t>Total per c</t>
  </si>
  <si>
    <t>Total per s</t>
  </si>
  <si>
    <t>Ber</t>
  </si>
  <si>
    <t>Mandatory transportations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</si>
</sst>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14</xdr:row>
      <xdr:rowOff>0</xdr:rowOff>
    </xdr:from>
    <xdr:to>
      <xdr:col>11</xdr:col>
      <xdr:colOff>57150</xdr:colOff>
      <xdr:row>15</xdr:row>
      <xdr:rowOff>104775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9675D346-B87D-38AF-CF15-DAAA1EF8AF9A}"/>
            </a:ext>
          </a:extLst>
        </xdr:cNvPr>
        <xdr:cNvSpPr/>
      </xdr:nvSpPr>
      <xdr:spPr>
        <a:xfrm>
          <a:off x="6915150" y="2667000"/>
          <a:ext cx="152400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Solve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C78D-9C6B-4EC1-8EF9-5766340D6655}">
  <sheetPr codeName="Hoja1"/>
  <dimension ref="B2:Q33"/>
  <sheetViews>
    <sheetView tabSelected="1" workbookViewId="0"/>
  </sheetViews>
  <sheetFormatPr baseColWidth="10" defaultRowHeight="15" x14ac:dyDescent="0.25"/>
  <sheetData>
    <row r="2" spans="2:17" x14ac:dyDescent="0.25">
      <c r="B2" s="6" t="s">
        <v>15</v>
      </c>
      <c r="J2" s="6" t="s">
        <v>16</v>
      </c>
    </row>
    <row r="4" spans="2:17" x14ac:dyDescent="0.25">
      <c r="B4" s="4" t="s">
        <v>12</v>
      </c>
      <c r="J4" t="s">
        <v>17</v>
      </c>
      <c r="L4" s="7">
        <f>C24*K10+D24*L10+E24*M10+F24*N10+G24*O10+H24*P10+C25*K11+D25*L11+ E25*M11+F25*N11+G25*O11+H25*P11</f>
        <v>1717.7</v>
      </c>
    </row>
    <row r="6" spans="2:17" x14ac:dyDescent="0.25">
      <c r="B6" s="2" t="s">
        <v>0</v>
      </c>
      <c r="C6" s="2" t="s">
        <v>11</v>
      </c>
      <c r="J6" t="s">
        <v>18</v>
      </c>
    </row>
    <row r="7" spans="2:17" x14ac:dyDescent="0.25">
      <c r="B7" s="2" t="s">
        <v>1</v>
      </c>
      <c r="C7" s="2">
        <v>550</v>
      </c>
    </row>
    <row r="8" spans="2:17" x14ac:dyDescent="0.25">
      <c r="B8" s="2" t="s">
        <v>2</v>
      </c>
      <c r="C8" s="2">
        <v>651</v>
      </c>
      <c r="J8" s="1"/>
      <c r="K8" s="8" t="s">
        <v>3</v>
      </c>
      <c r="L8" s="8"/>
      <c r="M8" s="8"/>
      <c r="N8" s="8"/>
      <c r="O8" s="8"/>
      <c r="P8" s="8"/>
      <c r="Q8" s="9" t="s">
        <v>20</v>
      </c>
    </row>
    <row r="9" spans="2:17" x14ac:dyDescent="0.25">
      <c r="J9" s="2" t="s">
        <v>0</v>
      </c>
      <c r="K9" s="2" t="s">
        <v>4</v>
      </c>
      <c r="L9" s="2" t="s">
        <v>21</v>
      </c>
      <c r="M9" s="2" t="s">
        <v>6</v>
      </c>
      <c r="N9" s="2" t="s">
        <v>7</v>
      </c>
      <c r="O9" s="2" t="s">
        <v>8</v>
      </c>
      <c r="P9" s="2" t="s">
        <v>9</v>
      </c>
      <c r="Q9" s="9"/>
    </row>
    <row r="10" spans="2:17" x14ac:dyDescent="0.25">
      <c r="B10" s="5" t="s">
        <v>13</v>
      </c>
      <c r="J10" s="2" t="s">
        <v>1</v>
      </c>
      <c r="K10" s="3">
        <v>0</v>
      </c>
      <c r="L10" s="3">
        <v>176</v>
      </c>
      <c r="M10" s="3">
        <v>225</v>
      </c>
      <c r="N10" s="3">
        <v>0</v>
      </c>
      <c r="O10" s="3">
        <v>149</v>
      </c>
      <c r="P10" s="3">
        <v>0</v>
      </c>
      <c r="Q10" s="2">
        <f>SUM(K10:P10)</f>
        <v>550</v>
      </c>
    </row>
    <row r="11" spans="2:17" x14ac:dyDescent="0.25">
      <c r="J11" s="2" t="s">
        <v>2</v>
      </c>
      <c r="K11" s="3">
        <v>125</v>
      </c>
      <c r="L11" s="3">
        <v>0</v>
      </c>
      <c r="M11" s="3">
        <v>0</v>
      </c>
      <c r="N11" s="3">
        <v>250</v>
      </c>
      <c r="O11" s="3">
        <v>76</v>
      </c>
      <c r="P11" s="3">
        <v>200</v>
      </c>
      <c r="Q11" s="2">
        <f>SUM(K11:P11)</f>
        <v>651</v>
      </c>
    </row>
    <row r="12" spans="2:17" x14ac:dyDescent="0.25">
      <c r="B12" s="2" t="s">
        <v>3</v>
      </c>
      <c r="C12" s="2" t="s">
        <v>10</v>
      </c>
      <c r="J12" s="2" t="s">
        <v>19</v>
      </c>
      <c r="K12" s="2">
        <f>SUM(K10:K11)</f>
        <v>125</v>
      </c>
      <c r="L12" s="2">
        <f t="shared" ref="L12:O12" si="0">SUM(L10:L11)</f>
        <v>176</v>
      </c>
      <c r="M12" s="2">
        <f t="shared" si="0"/>
        <v>225</v>
      </c>
      <c r="N12" s="2">
        <f t="shared" si="0"/>
        <v>250</v>
      </c>
      <c r="O12" s="2">
        <f t="shared" si="0"/>
        <v>225</v>
      </c>
      <c r="P12" s="2">
        <f>SUM(P10:P11)</f>
        <v>200</v>
      </c>
      <c r="Q12" s="1"/>
    </row>
    <row r="13" spans="2:17" x14ac:dyDescent="0.25">
      <c r="B13" s="2" t="s">
        <v>4</v>
      </c>
      <c r="C13" s="2">
        <v>125</v>
      </c>
    </row>
    <row r="14" spans="2:17" x14ac:dyDescent="0.25">
      <c r="B14" s="2" t="s">
        <v>5</v>
      </c>
      <c r="C14" s="2">
        <v>176</v>
      </c>
    </row>
    <row r="15" spans="2:17" x14ac:dyDescent="0.25">
      <c r="B15" s="2" t="s">
        <v>6</v>
      </c>
      <c r="C15" s="2">
        <v>225</v>
      </c>
    </row>
    <row r="16" spans="2:17" x14ac:dyDescent="0.25">
      <c r="B16" s="2" t="s">
        <v>7</v>
      </c>
      <c r="C16" s="2">
        <v>250</v>
      </c>
    </row>
    <row r="17" spans="2:9" x14ac:dyDescent="0.25">
      <c r="B17" s="2" t="s">
        <v>8</v>
      </c>
      <c r="C17" s="2">
        <v>225</v>
      </c>
    </row>
    <row r="18" spans="2:9" ht="14.25" customHeight="1" x14ac:dyDescent="0.25">
      <c r="B18" s="2" t="s">
        <v>9</v>
      </c>
      <c r="C18" s="2">
        <v>200</v>
      </c>
    </row>
    <row r="20" spans="2:9" x14ac:dyDescent="0.25">
      <c r="B20" s="5" t="s">
        <v>14</v>
      </c>
    </row>
    <row r="22" spans="2:9" x14ac:dyDescent="0.25">
      <c r="B22" s="1"/>
      <c r="C22" s="8" t="s">
        <v>3</v>
      </c>
      <c r="D22" s="8"/>
      <c r="E22" s="8"/>
      <c r="F22" s="8"/>
      <c r="G22" s="8"/>
      <c r="H22" s="8"/>
      <c r="I22" s="1"/>
    </row>
    <row r="23" spans="2:9" x14ac:dyDescent="0.25">
      <c r="B23" s="2" t="s">
        <v>0</v>
      </c>
      <c r="C23" s="2" t="s">
        <v>4</v>
      </c>
      <c r="D23" s="2" t="s">
        <v>21</v>
      </c>
      <c r="E23" s="2" t="s">
        <v>6</v>
      </c>
      <c r="F23" s="2" t="s">
        <v>7</v>
      </c>
      <c r="G23" s="2" t="s">
        <v>8</v>
      </c>
      <c r="H23" s="2" t="s">
        <v>9</v>
      </c>
    </row>
    <row r="24" spans="2:9" x14ac:dyDescent="0.25">
      <c r="B24" s="2" t="s">
        <v>1</v>
      </c>
      <c r="C24" s="2">
        <v>10000</v>
      </c>
      <c r="D24" s="2">
        <v>2.5</v>
      </c>
      <c r="E24" s="2">
        <v>1.6</v>
      </c>
      <c r="F24" s="2">
        <v>1.4</v>
      </c>
      <c r="G24" s="2">
        <v>0.8</v>
      </c>
      <c r="H24" s="2">
        <v>1.4</v>
      </c>
    </row>
    <row r="25" spans="2:9" x14ac:dyDescent="0.25">
      <c r="B25" s="2" t="s">
        <v>2</v>
      </c>
      <c r="C25" s="2">
        <v>2.5</v>
      </c>
      <c r="D25" s="2">
        <v>10000</v>
      </c>
      <c r="E25" s="2">
        <v>2</v>
      </c>
      <c r="F25" s="2">
        <v>1</v>
      </c>
      <c r="G25" s="2">
        <v>1</v>
      </c>
      <c r="H25" s="2">
        <v>0.8</v>
      </c>
    </row>
    <row r="28" spans="2:9" x14ac:dyDescent="0.25">
      <c r="B28" s="5" t="s">
        <v>22</v>
      </c>
    </row>
    <row r="30" spans="2:9" x14ac:dyDescent="0.25">
      <c r="B30" s="1"/>
      <c r="C30" s="8" t="s">
        <v>3</v>
      </c>
      <c r="D30" s="8"/>
      <c r="E30" s="8"/>
      <c r="F30" s="8"/>
      <c r="G30" s="8"/>
      <c r="H30" s="8"/>
    </row>
    <row r="31" spans="2:9" x14ac:dyDescent="0.25">
      <c r="B31" s="2" t="s">
        <v>0</v>
      </c>
      <c r="C31" s="2" t="s">
        <v>4</v>
      </c>
      <c r="D31" s="2" t="s">
        <v>21</v>
      </c>
      <c r="E31" s="2" t="s">
        <v>6</v>
      </c>
      <c r="F31" s="2" t="s">
        <v>7</v>
      </c>
      <c r="G31" s="2" t="s">
        <v>8</v>
      </c>
      <c r="H31" s="2" t="s">
        <v>9</v>
      </c>
    </row>
    <row r="32" spans="2:9" x14ac:dyDescent="0.25">
      <c r="B32" s="2" t="s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</row>
    <row r="33" spans="2:8" x14ac:dyDescent="0.25">
      <c r="B33" s="2" t="s">
        <v>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</row>
  </sheetData>
  <mergeCells count="4">
    <mergeCell ref="C22:H22"/>
    <mergeCell ref="K8:P8"/>
    <mergeCell ref="Q8:Q9"/>
    <mergeCell ref="C30:H3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Prieto</dc:creator>
  <cp:lastModifiedBy>Jose Prieto</cp:lastModifiedBy>
  <dcterms:created xsi:type="dcterms:W3CDTF">2024-02-28T14:11:19Z</dcterms:created>
  <dcterms:modified xsi:type="dcterms:W3CDTF">2024-02-28T16:21:00Z</dcterms:modified>
</cp:coreProperties>
</file>